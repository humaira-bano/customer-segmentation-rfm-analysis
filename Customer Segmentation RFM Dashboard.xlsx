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03FE9C5F-0A29-4CBB-B638-65F9497D846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Customer Data" sheetId="1" r:id="rId1"/>
    <sheet name="RFM Analysis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5" i="2"/>
  <c r="E4" i="2"/>
  <c r="E3" i="2"/>
  <c r="E2" i="2"/>
  <c r="G4" i="3"/>
  <c r="E4" i="3"/>
  <c r="C4" i="3"/>
  <c r="A4" i="3"/>
  <c r="B9" i="3" l="1"/>
  <c r="B10" i="3"/>
  <c r="B11" i="3"/>
  <c r="B12" i="3"/>
  <c r="B8" i="3"/>
</calcChain>
</file>

<file path=xl/sharedStrings.xml><?xml version="1.0" encoding="utf-8"?>
<sst xmlns="http://schemas.openxmlformats.org/spreadsheetml/2006/main" count="129" uniqueCount="84">
  <si>
    <t>Customer ID</t>
  </si>
  <si>
    <t>Order Date</t>
  </si>
  <si>
    <t>Order ID</t>
  </si>
  <si>
    <t>Sales</t>
  </si>
  <si>
    <t>C001</t>
  </si>
  <si>
    <t>O1001</t>
  </si>
  <si>
    <t>C002</t>
  </si>
  <si>
    <t>O1002</t>
  </si>
  <si>
    <t>C003</t>
  </si>
  <si>
    <t>O1003</t>
  </si>
  <si>
    <t>15/02/2026</t>
  </si>
  <si>
    <t>O1004</t>
  </si>
  <si>
    <t>C004</t>
  </si>
  <si>
    <t>20/02/2026</t>
  </si>
  <si>
    <t>O1005</t>
  </si>
  <si>
    <t>C005</t>
  </si>
  <si>
    <t>25/02/2026</t>
  </si>
  <si>
    <t>O1006</t>
  </si>
  <si>
    <t>O1007</t>
  </si>
  <si>
    <t>C006</t>
  </si>
  <si>
    <t>O1008</t>
  </si>
  <si>
    <t>18/03/2026</t>
  </si>
  <si>
    <t>O1009</t>
  </si>
  <si>
    <t>C007</t>
  </si>
  <si>
    <t>25/03/2026</t>
  </si>
  <si>
    <t>O1010</t>
  </si>
  <si>
    <t>O1011</t>
  </si>
  <si>
    <t>O1012</t>
  </si>
  <si>
    <t>15/04/2026</t>
  </si>
  <si>
    <t>O1013</t>
  </si>
  <si>
    <t>C008</t>
  </si>
  <si>
    <t>22/04/2026</t>
  </si>
  <si>
    <t>O1014</t>
  </si>
  <si>
    <t>O1015</t>
  </si>
  <si>
    <t>O1016</t>
  </si>
  <si>
    <t>20/05/2026</t>
  </si>
  <si>
    <t>O1017</t>
  </si>
  <si>
    <t>C009</t>
  </si>
  <si>
    <t>28/05/2026</t>
  </si>
  <si>
    <t>O1018</t>
  </si>
  <si>
    <t>O1019</t>
  </si>
  <si>
    <t>C010</t>
  </si>
  <si>
    <t>O1020</t>
  </si>
  <si>
    <t>20/06/2026</t>
  </si>
  <si>
    <t>O1021</t>
  </si>
  <si>
    <t>28/06/2026</t>
  </si>
  <si>
    <t>O1022</t>
  </si>
  <si>
    <t>O1023</t>
  </si>
  <si>
    <t>15/07/2026</t>
  </si>
  <si>
    <t>O1024</t>
  </si>
  <si>
    <t>25/07/2026</t>
  </si>
  <si>
    <t>O1025</t>
  </si>
  <si>
    <t>O1026</t>
  </si>
  <si>
    <t>O1027</t>
  </si>
  <si>
    <t>18/08/2026</t>
  </si>
  <si>
    <t>O1028</t>
  </si>
  <si>
    <t>25/08/2026</t>
  </si>
  <si>
    <t>O1029</t>
  </si>
  <si>
    <t>28/08/2026</t>
  </si>
  <si>
    <t>O1030</t>
  </si>
  <si>
    <t>Recency</t>
  </si>
  <si>
    <t>Frequency</t>
  </si>
  <si>
    <t>Monetary</t>
  </si>
  <si>
    <t>RFM Score</t>
  </si>
  <si>
    <t>Customer Segment</t>
  </si>
  <si>
    <t>At Risk</t>
  </si>
  <si>
    <t>Loyal Customer</t>
  </si>
  <si>
    <t>Potential Customer</t>
  </si>
  <si>
    <t>High Value</t>
  </si>
  <si>
    <t>CUSTOMER SEGMENTATION &amp; RFM ANALYSIS</t>
  </si>
  <si>
    <t>Total Customers</t>
  </si>
  <si>
    <t>Total Revenue</t>
  </si>
  <si>
    <t>Avg Recency</t>
  </si>
  <si>
    <t>Avg Customer Spend</t>
  </si>
  <si>
    <t>CUSTOMER SEGMENT</t>
  </si>
  <si>
    <t>Customer</t>
  </si>
  <si>
    <t xml:space="preserve">Loyal Customer </t>
  </si>
  <si>
    <t>New Customer</t>
  </si>
  <si>
    <t>Revenue by Customer Segment</t>
  </si>
  <si>
    <t>Revenue</t>
  </si>
  <si>
    <t>KEY BUSINESS INSIGHTS</t>
  </si>
  <si>
    <t>High Value customers generate low revenue compared to Loyal and Potential customers</t>
  </si>
  <si>
    <t>Loyal Customers contribute the highest revenue and should be retained.</t>
  </si>
  <si>
    <t>sk customers contribute significant revenue and need re-engagement.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</si>
</sst>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Dashboard!$B$7</c:f>
              <c:strCache>
                <c:ptCount val="1"/>
                <c:pt idx="0">
                  <c:v>Customer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Dashboard!$A$8:$A$12</c:f>
              <c:strCache>
                <c:ptCount val="5"/>
                <c:pt idx="0">
                  <c:v>High Value</c:v>
                </c:pt>
                <c:pt idx="1">
                  <c:v>Loyal Customer </c:v>
                </c:pt>
                <c:pt idx="2">
                  <c:v>Potential Customer</c:v>
                </c:pt>
                <c:pt idx="3">
                  <c:v>New Customer</c:v>
                </c:pt>
                <c:pt idx="4">
                  <c:v>At Risk</c:v>
                </c:pt>
              </c:strCache>
            </c:strRef>
          </c:cat>
          <c:val>
            <c:numRef>
              <c:f>Dashboard!$B$8:$B$12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7-4176-873F-48DD9706A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Count by Segment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Dashboard!$A$8:$A$12</c:f>
              <c:strCache>
                <c:ptCount val="5"/>
                <c:pt idx="0">
                  <c:v>High Value</c:v>
                </c:pt>
                <c:pt idx="1">
                  <c:v>Loyal Customer </c:v>
                </c:pt>
                <c:pt idx="2">
                  <c:v>Potential Customer</c:v>
                </c:pt>
                <c:pt idx="3">
                  <c:v>New Customer</c:v>
                </c:pt>
                <c:pt idx="4">
                  <c:v>At Risk</c:v>
                </c:pt>
              </c:strCache>
            </c:strRef>
          </c:cat>
          <c:val>
            <c:numRef>
              <c:f>Dashboard!$B$8:$B$12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B-4BCE-96A0-287ACBA3D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96487"/>
        <c:axId val="8602631"/>
      </c:barChart>
      <c:catAx>
        <c:axId val="8596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2631"/>
        <c:crosses val="autoZero"/>
        <c:auto val="1"/>
        <c:lblAlgn val="ctr"/>
        <c:lblOffset val="100"/>
        <c:noMultiLvlLbl val="0"/>
      </c:catAx>
      <c:valAx>
        <c:axId val="8602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6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Dashboard!$A$15:$A$19</c:f>
              <c:strCache>
                <c:ptCount val="5"/>
                <c:pt idx="0">
                  <c:v>High Value</c:v>
                </c:pt>
                <c:pt idx="1">
                  <c:v>Loyal Customer </c:v>
                </c:pt>
                <c:pt idx="2">
                  <c:v>Potential Customer</c:v>
                </c:pt>
                <c:pt idx="3">
                  <c:v>New Customer</c:v>
                </c:pt>
                <c:pt idx="4">
                  <c:v>At Risk</c:v>
                </c:pt>
              </c:strCache>
            </c:strRef>
          </c:cat>
          <c:val>
            <c:numRef>
              <c:f>Dashboard!$B$15:$B$19</c:f>
              <c:numCache>
                <c:formatCode>General</c:formatCode>
                <c:ptCount val="5"/>
                <c:pt idx="0">
                  <c:v>2000</c:v>
                </c:pt>
                <c:pt idx="1">
                  <c:v>28400</c:v>
                </c:pt>
                <c:pt idx="2">
                  <c:v>27700</c:v>
                </c:pt>
                <c:pt idx="3">
                  <c:v>0</c:v>
                </c:pt>
                <c:pt idx="4">
                  <c:v>26100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7-443A-9DDF-B88B4FEAC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7687"/>
        <c:axId val="8649735"/>
      </c:barChart>
      <c:catAx>
        <c:axId val="8647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735"/>
        <c:crosses val="autoZero"/>
        <c:auto val="1"/>
        <c:lblAlgn val="ctr"/>
        <c:lblOffset val="100"/>
        <c:noMultiLvlLbl val="0"/>
      </c:catAx>
      <c:valAx>
        <c:axId val="8649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27</xdr:row>
      <xdr:rowOff>171450</xdr:rowOff>
    </xdr:from>
    <xdr:to>
      <xdr:col>7</xdr:col>
      <xdr:colOff>123825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45692-54FB-5142-F918-1E36B03C8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771525</xdr:colOff>
      <xdr:row>0</xdr:row>
      <xdr:rowOff>9525</xdr:rowOff>
    </xdr:from>
    <xdr:to>
      <xdr:col>14</xdr:col>
      <xdr:colOff>295275</xdr:colOff>
      <xdr:row>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E679FA-D71F-7713-B9C6-CFB96D7F6BDD}"/>
            </a:ext>
            <a:ext uri="{147F2762-F138-4A5C-976F-8EAC2B608ADB}">
              <a16:predDERef xmlns:a16="http://schemas.microsoft.com/office/drawing/2014/main" pred="{76045692-54FB-5142-F918-1E36B03C8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742950</xdr:colOff>
      <xdr:row>14</xdr:row>
      <xdr:rowOff>28575</xdr:rowOff>
    </xdr:from>
    <xdr:to>
      <xdr:col>14</xdr:col>
      <xdr:colOff>266700</xdr:colOff>
      <xdr:row>28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D27FA9-70F5-B33F-83FB-F486F2D9851E}"/>
            </a:ext>
            <a:ext uri="{147F2762-F138-4A5C-976F-8EAC2B608ADB}">
              <a16:predDERef xmlns:a16="http://schemas.microsoft.com/office/drawing/2014/main" pred="{3DE679FA-D71F-7713-B9C6-CFB96D7F6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23" workbookViewId="0">
      <selection activeCell="F12" sqref="F12"/>
    </sheetView>
  </sheetViews>
  <sheetFormatPr defaultRowHeight="15"/>
  <cols>
    <col min="1" max="1" width="11.85546875" customWidth="1"/>
    <col min="2" max="2" width="10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46024</v>
      </c>
      <c r="C2" t="s">
        <v>5</v>
      </c>
      <c r="D2">
        <v>2500</v>
      </c>
    </row>
    <row r="3" spans="1:4">
      <c r="A3" t="s">
        <v>6</v>
      </c>
      <c r="B3" s="1">
        <v>46144</v>
      </c>
      <c r="C3" t="s">
        <v>7</v>
      </c>
      <c r="D3">
        <v>1800</v>
      </c>
    </row>
    <row r="4" spans="1:4">
      <c r="A4" t="s">
        <v>8</v>
      </c>
      <c r="B4" s="1">
        <v>46236</v>
      </c>
      <c r="C4" t="s">
        <v>9</v>
      </c>
      <c r="D4">
        <v>3200</v>
      </c>
    </row>
    <row r="5" spans="1:4">
      <c r="A5" t="s">
        <v>4</v>
      </c>
      <c r="B5" t="s">
        <v>10</v>
      </c>
      <c r="C5" t="s">
        <v>11</v>
      </c>
      <c r="D5">
        <v>1500</v>
      </c>
    </row>
    <row r="6" spans="1:4">
      <c r="A6" t="s">
        <v>12</v>
      </c>
      <c r="B6" t="s">
        <v>13</v>
      </c>
      <c r="C6" t="s">
        <v>14</v>
      </c>
      <c r="D6">
        <v>4200</v>
      </c>
    </row>
    <row r="7" spans="1:4">
      <c r="A7" t="s">
        <v>15</v>
      </c>
      <c r="B7" t="s">
        <v>16</v>
      </c>
      <c r="C7" t="s">
        <v>17</v>
      </c>
      <c r="D7">
        <v>1200</v>
      </c>
    </row>
    <row r="8" spans="1:4">
      <c r="A8" t="s">
        <v>6</v>
      </c>
      <c r="B8" s="1">
        <v>46084</v>
      </c>
      <c r="C8" t="s">
        <v>18</v>
      </c>
      <c r="D8">
        <v>2100</v>
      </c>
    </row>
    <row r="9" spans="1:4">
      <c r="A9" t="s">
        <v>19</v>
      </c>
      <c r="B9" s="1">
        <v>46298</v>
      </c>
      <c r="C9" t="s">
        <v>20</v>
      </c>
      <c r="D9">
        <v>3500</v>
      </c>
    </row>
    <row r="10" spans="1:4">
      <c r="A10" t="s">
        <v>8</v>
      </c>
      <c r="B10" t="s">
        <v>21</v>
      </c>
      <c r="C10" t="s">
        <v>22</v>
      </c>
      <c r="D10">
        <v>2800</v>
      </c>
    </row>
    <row r="11" spans="1:4">
      <c r="A11" t="s">
        <v>23</v>
      </c>
      <c r="B11" t="s">
        <v>24</v>
      </c>
      <c r="C11" t="s">
        <v>25</v>
      </c>
      <c r="D11">
        <v>900</v>
      </c>
    </row>
    <row r="12" spans="1:4">
      <c r="A12" t="s">
        <v>4</v>
      </c>
      <c r="B12" s="1">
        <v>46057</v>
      </c>
      <c r="C12" t="s">
        <v>26</v>
      </c>
      <c r="D12">
        <v>3000</v>
      </c>
    </row>
    <row r="13" spans="1:4">
      <c r="A13" t="s">
        <v>12</v>
      </c>
      <c r="B13" s="1">
        <v>46299</v>
      </c>
      <c r="C13" t="s">
        <v>27</v>
      </c>
      <c r="D13">
        <v>4500</v>
      </c>
    </row>
    <row r="14" spans="1:4">
      <c r="A14" t="s">
        <v>15</v>
      </c>
      <c r="B14" t="s">
        <v>28</v>
      </c>
      <c r="C14" t="s">
        <v>29</v>
      </c>
      <c r="D14">
        <v>1600</v>
      </c>
    </row>
    <row r="15" spans="1:4">
      <c r="A15" t="s">
        <v>30</v>
      </c>
      <c r="B15" t="s">
        <v>31</v>
      </c>
      <c r="C15" t="s">
        <v>32</v>
      </c>
      <c r="D15">
        <v>5200</v>
      </c>
    </row>
    <row r="16" spans="1:4">
      <c r="A16" t="s">
        <v>6</v>
      </c>
      <c r="B16" s="1">
        <v>46147</v>
      </c>
      <c r="C16" t="s">
        <v>33</v>
      </c>
      <c r="D16">
        <v>1900</v>
      </c>
    </row>
    <row r="17" spans="1:4">
      <c r="A17" t="s">
        <v>19</v>
      </c>
      <c r="B17" s="1">
        <v>46361</v>
      </c>
      <c r="C17" t="s">
        <v>34</v>
      </c>
      <c r="D17">
        <v>3300</v>
      </c>
    </row>
    <row r="18" spans="1:4">
      <c r="A18" t="s">
        <v>8</v>
      </c>
      <c r="B18" t="s">
        <v>35</v>
      </c>
      <c r="C18" t="s">
        <v>36</v>
      </c>
      <c r="D18">
        <v>2400</v>
      </c>
    </row>
    <row r="19" spans="1:4">
      <c r="A19" t="s">
        <v>37</v>
      </c>
      <c r="B19" t="s">
        <v>38</v>
      </c>
      <c r="C19" t="s">
        <v>39</v>
      </c>
      <c r="D19">
        <v>1100</v>
      </c>
    </row>
    <row r="20" spans="1:4">
      <c r="A20" t="s">
        <v>12</v>
      </c>
      <c r="B20" s="1">
        <v>46148</v>
      </c>
      <c r="C20" t="s">
        <v>40</v>
      </c>
      <c r="D20">
        <v>4800</v>
      </c>
    </row>
    <row r="21" spans="1:4">
      <c r="A21" t="s">
        <v>41</v>
      </c>
      <c r="B21" s="1">
        <v>46362</v>
      </c>
      <c r="C21" t="s">
        <v>42</v>
      </c>
      <c r="D21">
        <v>700</v>
      </c>
    </row>
    <row r="22" spans="1:4">
      <c r="A22" t="s">
        <v>4</v>
      </c>
      <c r="B22" t="s">
        <v>43</v>
      </c>
      <c r="C22" t="s">
        <v>44</v>
      </c>
      <c r="D22">
        <v>2700</v>
      </c>
    </row>
    <row r="23" spans="1:4">
      <c r="A23" t="s">
        <v>19</v>
      </c>
      <c r="B23" t="s">
        <v>45</v>
      </c>
      <c r="C23" t="s">
        <v>46</v>
      </c>
      <c r="D23">
        <v>3600</v>
      </c>
    </row>
    <row r="24" spans="1:4">
      <c r="A24" t="s">
        <v>30</v>
      </c>
      <c r="B24" s="1">
        <v>46149</v>
      </c>
      <c r="C24" t="s">
        <v>47</v>
      </c>
      <c r="D24">
        <v>5000</v>
      </c>
    </row>
    <row r="25" spans="1:4">
      <c r="A25" t="s">
        <v>8</v>
      </c>
      <c r="B25" t="s">
        <v>48</v>
      </c>
      <c r="C25" t="s">
        <v>49</v>
      </c>
      <c r="D25">
        <v>2900</v>
      </c>
    </row>
    <row r="26" spans="1:4">
      <c r="A26" t="s">
        <v>12</v>
      </c>
      <c r="B26" t="s">
        <v>50</v>
      </c>
      <c r="C26" t="s">
        <v>51</v>
      </c>
      <c r="D26">
        <v>4100</v>
      </c>
    </row>
    <row r="27" spans="1:4">
      <c r="A27" t="s">
        <v>6</v>
      </c>
      <c r="B27" s="1">
        <v>46150</v>
      </c>
      <c r="C27" t="s">
        <v>52</v>
      </c>
      <c r="D27">
        <v>2200</v>
      </c>
    </row>
    <row r="28" spans="1:4">
      <c r="A28" t="s">
        <v>19</v>
      </c>
      <c r="B28" s="1">
        <v>46364</v>
      </c>
      <c r="C28" t="s">
        <v>53</v>
      </c>
      <c r="D28">
        <v>3400</v>
      </c>
    </row>
    <row r="29" spans="1:4">
      <c r="A29" t="s">
        <v>30</v>
      </c>
      <c r="B29" t="s">
        <v>54</v>
      </c>
      <c r="C29" t="s">
        <v>55</v>
      </c>
      <c r="D29">
        <v>4700</v>
      </c>
    </row>
    <row r="30" spans="1:4">
      <c r="A30" t="s">
        <v>4</v>
      </c>
      <c r="B30" t="s">
        <v>56</v>
      </c>
      <c r="C30" t="s">
        <v>57</v>
      </c>
      <c r="D30">
        <v>2600</v>
      </c>
    </row>
    <row r="31" spans="1:4">
      <c r="A31" t="s">
        <v>41</v>
      </c>
      <c r="B31" t="s">
        <v>58</v>
      </c>
      <c r="C31" t="s">
        <v>59</v>
      </c>
      <c r="D31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194C-A539-4B3F-B84A-9EA7E6B80CFA}">
  <dimension ref="A1:F11"/>
  <sheetViews>
    <sheetView workbookViewId="0">
      <selection activeCell="H5" sqref="H5"/>
    </sheetView>
  </sheetViews>
  <sheetFormatPr defaultRowHeight="15"/>
  <cols>
    <col min="1" max="1" width="13.85546875" customWidth="1"/>
    <col min="2" max="2" width="15.7109375" customWidth="1"/>
    <col min="3" max="3" width="12.5703125" customWidth="1"/>
    <col min="4" max="4" width="10.85546875" customWidth="1"/>
    <col min="5" max="5" width="12.42578125" customWidth="1"/>
    <col min="6" max="6" width="17.140625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 t="s">
        <v>4</v>
      </c>
      <c r="B2" s="2">
        <v>6</v>
      </c>
      <c r="C2">
        <v>5</v>
      </c>
      <c r="D2">
        <v>12300</v>
      </c>
      <c r="E2">
        <f>ROUND((_xlfn.RANK.EQ(B2,$B$2:$B$11,1)+_xlfn.RANK.EQ(C2,$C$2:$C$11,0)+_xlfn.RANK.EQ(D2,$D$2:$D$11,0))/3,0)</f>
        <v>2</v>
      </c>
      <c r="F2" s="2" t="s">
        <v>65</v>
      </c>
    </row>
    <row r="3" spans="1:6">
      <c r="A3" t="s">
        <v>6</v>
      </c>
      <c r="B3" s="2">
        <v>207</v>
      </c>
      <c r="C3">
        <v>4</v>
      </c>
      <c r="D3">
        <v>8000</v>
      </c>
      <c r="E3">
        <f>ROUND((_xlfn.RANK.EQ(B3,$B$2:$B$11,1)+_xlfn.RANK.EQ(C3,$C$2:$C$11,0)+_xlfn.RANK.EQ(D3,$D$2:$D$11,0))/3,0)</f>
        <v>6</v>
      </c>
      <c r="F3" s="2" t="s">
        <v>66</v>
      </c>
    </row>
    <row r="4" spans="1:6">
      <c r="A4" t="s">
        <v>8</v>
      </c>
      <c r="B4" s="2">
        <v>47</v>
      </c>
      <c r="C4">
        <v>4</v>
      </c>
      <c r="D4">
        <v>11300</v>
      </c>
      <c r="E4">
        <f>ROUND((_xlfn.RANK.EQ(B4,$B$2:$B$11,1)+_xlfn.RANK.EQ(C4,$C$2:$C$11,0)+_xlfn.RANK.EQ(D4,$D$2:$D$11,0))/3,0)</f>
        <v>4</v>
      </c>
      <c r="F4" s="2" t="s">
        <v>67</v>
      </c>
    </row>
    <row r="5" spans="1:6">
      <c r="A5" t="s">
        <v>12</v>
      </c>
      <c r="B5" s="2">
        <v>37</v>
      </c>
      <c r="C5">
        <v>4</v>
      </c>
      <c r="D5">
        <v>17600</v>
      </c>
      <c r="E5">
        <f>ROUND((_xlfn.RANK.EQ(B6,$B$2:$B$11,1)+_xlfn.RANK.EQ(C6,$C$2:$C$11,0)+_xlfn.RANK.EQ(D6,$D$2:$D$11,0))/3,0)</f>
        <v>7</v>
      </c>
      <c r="F5" s="2" t="s">
        <v>66</v>
      </c>
    </row>
    <row r="6" spans="1:6">
      <c r="A6" t="s">
        <v>15</v>
      </c>
      <c r="B6" s="2">
        <v>138</v>
      </c>
      <c r="C6">
        <v>2</v>
      </c>
      <c r="D6">
        <v>2800</v>
      </c>
      <c r="E6">
        <f>ROUND((_xlfn.RANK.EQ(B6,$B$2:$B$11,1)+_xlfn.RANK.EQ(C6,$C$2:$C$11,0)+_xlfn.RANK.EQ(D6,$D$2:$D$11,0))/3,0)</f>
        <v>7</v>
      </c>
      <c r="F6" s="2" t="s">
        <v>66</v>
      </c>
    </row>
    <row r="7" spans="1:6">
      <c r="A7" t="s">
        <v>19</v>
      </c>
      <c r="B7" s="2">
        <v>19</v>
      </c>
      <c r="C7">
        <v>4</v>
      </c>
      <c r="D7">
        <v>13800</v>
      </c>
      <c r="E7">
        <f>ROUND((_xlfn.RANK.EQ(B7,$B$2:$B$11,1)+_xlfn.RANK.EQ(C7,$C$2:$C$11,0)+_xlfn.RANK.EQ(D7,$D$2:$D$11,0))/3,0)</f>
        <v>3</v>
      </c>
      <c r="F7" s="2" t="s">
        <v>65</v>
      </c>
    </row>
    <row r="8" spans="1:6">
      <c r="A8" t="s">
        <v>23</v>
      </c>
      <c r="B8" s="3">
        <v>159</v>
      </c>
      <c r="C8">
        <v>1</v>
      </c>
      <c r="D8">
        <v>900</v>
      </c>
      <c r="E8">
        <f>ROUND((_xlfn.RANK.EQ(B8,$B$2:$B$11,1)+_xlfn.RANK.EQ(C8,$C$2:$C$11,0)+_xlfn.RANK.EQ(D8,$D$2:$D$11,0))/3,0)</f>
        <v>9</v>
      </c>
      <c r="F8" s="2" t="s">
        <v>68</v>
      </c>
    </row>
    <row r="9" spans="1:6">
      <c r="A9" t="s">
        <v>30</v>
      </c>
      <c r="B9" s="2">
        <v>13</v>
      </c>
      <c r="C9">
        <v>3</v>
      </c>
      <c r="D9">
        <v>14900</v>
      </c>
      <c r="E9">
        <f>ROUND((_xlfn.RANK.EQ(B9,$B$2:$B$11,1)+_xlfn.RANK.EQ(C9,$C$2:$C$11,0)+_xlfn.RANK.EQ(D9,$D$2:$D$11,0))/3,0)</f>
        <v>4</v>
      </c>
      <c r="F9" s="2" t="s">
        <v>67</v>
      </c>
    </row>
    <row r="10" spans="1:6">
      <c r="A10" t="s">
        <v>37</v>
      </c>
      <c r="B10" s="2">
        <v>95</v>
      </c>
      <c r="C10">
        <v>1</v>
      </c>
      <c r="D10">
        <v>1100</v>
      </c>
      <c r="E10">
        <f>ROUND((_xlfn.RANK.EQ(B10,$B$2:$B$11,1)+_xlfn.RANK.EQ(C10,$C$2:$C$11,0)+_xlfn.RANK.EQ(D10,$D$2:$D$11,0))/3,0)</f>
        <v>8</v>
      </c>
      <c r="F10" s="2" t="s">
        <v>68</v>
      </c>
    </row>
    <row r="11" spans="1:6">
      <c r="A11" t="s">
        <v>41</v>
      </c>
      <c r="B11" s="2">
        <v>3</v>
      </c>
      <c r="C11">
        <v>2</v>
      </c>
      <c r="D11">
        <v>1500</v>
      </c>
      <c r="E11">
        <f>ROUND((_xlfn.RANK.EQ(B11,$B$2:$B$11,1)+_xlfn.RANK.EQ(C11,$C$2:$C$11,0)+_xlfn.RANK.EQ(D11,$D$2:$D$11,0))/3,0)</f>
        <v>5</v>
      </c>
      <c r="F11" s="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A429-2444-43A6-9E42-18A39E14A7CC}">
  <dimension ref="A1:G25"/>
  <sheetViews>
    <sheetView tabSelected="1" topLeftCell="A16" workbookViewId="0">
      <selection activeCell="A26" sqref="A26"/>
    </sheetView>
  </sheetViews>
  <sheetFormatPr defaultRowHeight="15"/>
  <cols>
    <col min="1" max="1" width="75.5703125" customWidth="1"/>
    <col min="2" max="2" width="12" customWidth="1"/>
    <col min="3" max="3" width="18.42578125" customWidth="1"/>
    <col min="7" max="7" width="11.7109375" customWidth="1"/>
  </cols>
  <sheetData>
    <row r="1" spans="1:7">
      <c r="A1" s="4" t="s">
        <v>69</v>
      </c>
    </row>
    <row r="3" spans="1:7">
      <c r="A3" s="4" t="s">
        <v>70</v>
      </c>
      <c r="C3" t="s">
        <v>71</v>
      </c>
      <c r="G3" t="s">
        <v>72</v>
      </c>
    </row>
    <row r="4" spans="1:7">
      <c r="A4" s="4">
        <f>COUNTA('RFM Analysis'!A2:A11)</f>
        <v>10</v>
      </c>
      <c r="C4">
        <f>SUM('RFM Analysis'!D2:D11)</f>
        <v>84200</v>
      </c>
      <c r="E4">
        <f>AVERAGE('RFM Analysis'!D2:D11)</f>
        <v>8420</v>
      </c>
      <c r="G4" s="2">
        <f>AVERAGE('RFM Analysis'!B2:B11)</f>
        <v>72.400000000000006</v>
      </c>
    </row>
    <row r="5" spans="1:7">
      <c r="C5" t="s">
        <v>73</v>
      </c>
    </row>
    <row r="7" spans="1:7">
      <c r="A7" s="4" t="s">
        <v>74</v>
      </c>
      <c r="B7" s="4" t="s">
        <v>75</v>
      </c>
    </row>
    <row r="8" spans="1:7">
      <c r="A8" t="s">
        <v>68</v>
      </c>
      <c r="B8">
        <f>COUNTIF('RFM Analysis'!F:F,A8)</f>
        <v>2</v>
      </c>
    </row>
    <row r="9" spans="1:7">
      <c r="A9" t="s">
        <v>76</v>
      </c>
      <c r="B9">
        <f>COUNTIF('RFM Analysis'!F:F,A8)</f>
        <v>2</v>
      </c>
    </row>
    <row r="10" spans="1:7">
      <c r="A10" t="s">
        <v>67</v>
      </c>
      <c r="B10">
        <f>COUNTIF('RFM Analysis'!F:F,A8)</f>
        <v>2</v>
      </c>
    </row>
    <row r="11" spans="1:7">
      <c r="A11" t="s">
        <v>77</v>
      </c>
      <c r="B11">
        <f>COUNTIF('RFM Analysis'!F:F,A8)</f>
        <v>2</v>
      </c>
    </row>
    <row r="12" spans="1:7">
      <c r="A12" t="s">
        <v>65</v>
      </c>
      <c r="B12">
        <f>COUNTIF('RFM Analysis'!F:F,A8)</f>
        <v>2</v>
      </c>
    </row>
    <row r="14" spans="1:7">
      <c r="A14" s="4" t="s">
        <v>78</v>
      </c>
      <c r="B14" s="4" t="s">
        <v>79</v>
      </c>
    </row>
    <row r="15" spans="1:7">
      <c r="A15" t="s">
        <v>68</v>
      </c>
      <c r="B15">
        <v>2000</v>
      </c>
    </row>
    <row r="16" spans="1:7">
      <c r="A16" t="s">
        <v>76</v>
      </c>
      <c r="B16">
        <v>28400</v>
      </c>
    </row>
    <row r="17" spans="1:2">
      <c r="A17" t="s">
        <v>67</v>
      </c>
      <c r="B17">
        <v>27700</v>
      </c>
    </row>
    <row r="18" spans="1:2">
      <c r="A18" t="s">
        <v>77</v>
      </c>
      <c r="B18">
        <v>0</v>
      </c>
    </row>
    <row r="19" spans="1:2">
      <c r="A19" t="s">
        <v>65</v>
      </c>
      <c r="B19">
        <v>26100</v>
      </c>
    </row>
    <row r="22" spans="1:2">
      <c r="A22" t="s">
        <v>80</v>
      </c>
    </row>
    <row r="23" spans="1:2">
      <c r="A23" t="s">
        <v>81</v>
      </c>
    </row>
    <row r="24" spans="1:2">
      <c r="A24" t="s">
        <v>82</v>
      </c>
    </row>
    <row r="25" spans="1:2">
      <c r="A25" t="s">
        <v>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2026-09-08T15:31:06Z</dcterms:created>
  <dcterms:modified xsi:type="dcterms:W3CDTF">2026-09-08T17:32:45Z</dcterms:modified>
  <cp:category/>
  <cp:contentStatus/>
</cp:coreProperties>
</file>